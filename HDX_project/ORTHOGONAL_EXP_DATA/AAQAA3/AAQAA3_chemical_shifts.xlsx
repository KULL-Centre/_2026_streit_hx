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treit/Downloads/processing_data/"/>
    </mc:Choice>
  </mc:AlternateContent>
  <xr:revisionPtr revIDLastSave="0" documentId="13_ncr:1_{35E89AE9-EECD-6748-89D5-2D3600FD682B}" xr6:coauthVersionLast="47" xr6:coauthVersionMax="47" xr10:uidLastSave="{00000000-0000-0000-0000-000000000000}"/>
  <bookViews>
    <workbookView xWindow="28800" yWindow="0" windowWidth="38400" windowHeight="21600" xr2:uid="{95D4E4D9-820E-F649-A81B-E145A41F2D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9" i="1"/>
  <c r="J4" i="1"/>
  <c r="J16" i="1"/>
  <c r="J15" i="1"/>
  <c r="J13" i="1"/>
  <c r="J12" i="1"/>
  <c r="J11" i="1"/>
  <c r="J10" i="1"/>
  <c r="J8" i="1"/>
  <c r="J7" i="1"/>
  <c r="J6" i="1"/>
  <c r="J5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<sst xmlns="http://schemas.openxmlformats.org/spreadsheetml/2006/main" count="30" uniqueCount="15">
  <si>
    <t>Residue</t>
  </si>
  <si>
    <t>Resname</t>
  </si>
  <si>
    <t>Tm</t>
  </si>
  <si>
    <t>deltaT</t>
  </si>
  <si>
    <t>CS_274K</t>
  </si>
  <si>
    <t>ALA</t>
  </si>
  <si>
    <t>GLN</t>
  </si>
  <si>
    <t>coil CS 273</t>
  </si>
  <si>
    <t>helix-coil CS</t>
  </si>
  <si>
    <t>Tm (K)</t>
  </si>
  <si>
    <t>Model_residue</t>
  </si>
  <si>
    <t>nan</t>
  </si>
  <si>
    <t>fraction_helix_274K</t>
  </si>
  <si>
    <t>delta_CS_coil_alpha_ALA</t>
  </si>
  <si>
    <t>delta_CS_coil_alpha_GLN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</si>
</sst>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CCBD-C860-C549-A1C8-9BB8F9BEEE24}">
  <dimension ref="A1:M16"/>
  <sheetViews>
    <sheetView tabSelected="1" workbookViewId="0">
      <selection activeCell="A5" sqref="A5"/>
    </sheetView>
  </sheetViews>
  <sheetFormatPr baseColWidth="10" defaultRowHeight="16" x14ac:dyDescent="0.2"/>
  <cols>
    <col min="9" max="9" width="17.1640625" bestFit="1" customWidth="1"/>
  </cols>
  <sheetData>
    <row r="1" spans="1:13" x14ac:dyDescent="0.2">
      <c r="A1" t="s">
        <v>0</v>
      </c>
      <c r="B1" t="s">
        <v>10</v>
      </c>
      <c r="C1" t="s">
        <v>1</v>
      </c>
      <c r="D1" t="s">
        <v>7</v>
      </c>
      <c r="E1" t="s">
        <v>8</v>
      </c>
      <c r="F1" t="s">
        <v>2</v>
      </c>
      <c r="G1" t="s">
        <v>9</v>
      </c>
      <c r="H1" t="s">
        <v>3</v>
      </c>
      <c r="I1" t="s">
        <v>12</v>
      </c>
      <c r="J1" t="s">
        <v>4</v>
      </c>
    </row>
    <row r="2" spans="1:13" x14ac:dyDescent="0.2">
      <c r="A2">
        <v>1</v>
      </c>
      <c r="B2">
        <f>A2+1</f>
        <v>2</v>
      </c>
      <c r="C2" t="s">
        <v>5</v>
      </c>
      <c r="D2">
        <v>177.75</v>
      </c>
      <c r="E2">
        <v>2.5299999999999998</v>
      </c>
      <c r="F2">
        <v>0</v>
      </c>
      <c r="G2">
        <f>F2+273</f>
        <v>273</v>
      </c>
      <c r="H2">
        <v>80</v>
      </c>
      <c r="I2">
        <v>0.45</v>
      </c>
      <c r="J2">
        <f>D2+I2*$M$4</f>
        <v>178.99199999999999</v>
      </c>
    </row>
    <row r="3" spans="1:13" x14ac:dyDescent="0.2">
      <c r="A3">
        <v>2</v>
      </c>
      <c r="B3">
        <f t="shared" ref="B3:B16" si="0">A3+1</f>
        <v>3</v>
      </c>
      <c r="C3" t="s">
        <v>5</v>
      </c>
      <c r="D3">
        <v>177.58</v>
      </c>
      <c r="E3">
        <v>2.94</v>
      </c>
      <c r="F3">
        <v>-2</v>
      </c>
      <c r="G3">
        <f t="shared" ref="G3:G15" si="1">F3+273</f>
        <v>271</v>
      </c>
      <c r="H3">
        <v>81</v>
      </c>
      <c r="I3">
        <v>0.49</v>
      </c>
      <c r="J3">
        <f>D3+I3*$M$4</f>
        <v>178.9324</v>
      </c>
      <c r="M3" t="s">
        <v>13</v>
      </c>
    </row>
    <row r="4" spans="1:13" x14ac:dyDescent="0.2">
      <c r="A4">
        <v>3</v>
      </c>
      <c r="B4">
        <f t="shared" si="0"/>
        <v>4</v>
      </c>
      <c r="C4" t="s">
        <v>6</v>
      </c>
      <c r="D4">
        <v>175.11</v>
      </c>
      <c r="E4">
        <v>2.93</v>
      </c>
      <c r="F4">
        <v>7</v>
      </c>
      <c r="G4">
        <f t="shared" si="1"/>
        <v>280</v>
      </c>
      <c r="H4">
        <v>89</v>
      </c>
      <c r="I4">
        <v>0.56000000000000005</v>
      </c>
      <c r="J4">
        <f>D4+I4*$M$6</f>
        <v>176.762</v>
      </c>
      <c r="M4">
        <v>2.76</v>
      </c>
    </row>
    <row r="5" spans="1:13" x14ac:dyDescent="0.2">
      <c r="A5">
        <v>4</v>
      </c>
      <c r="B5">
        <f t="shared" si="0"/>
        <v>5</v>
      </c>
      <c r="C5" t="s">
        <v>5</v>
      </c>
      <c r="D5">
        <v>177.23</v>
      </c>
      <c r="E5">
        <v>2.54</v>
      </c>
      <c r="F5">
        <v>3</v>
      </c>
      <c r="G5">
        <f t="shared" si="1"/>
        <v>276</v>
      </c>
      <c r="H5">
        <v>85</v>
      </c>
      <c r="I5">
        <v>0.54</v>
      </c>
      <c r="J5">
        <f>D5+I5*$M$4</f>
        <v>178.72039999999998</v>
      </c>
      <c r="M5" t="s">
        <v>14</v>
      </c>
    </row>
    <row r="6" spans="1:13" x14ac:dyDescent="0.2">
      <c r="A6">
        <v>5</v>
      </c>
      <c r="B6">
        <f t="shared" si="0"/>
        <v>6</v>
      </c>
      <c r="C6" t="s">
        <v>5</v>
      </c>
      <c r="D6">
        <v>177.36</v>
      </c>
      <c r="E6">
        <v>2.83</v>
      </c>
      <c r="F6">
        <v>6</v>
      </c>
      <c r="G6">
        <f t="shared" si="1"/>
        <v>279</v>
      </c>
      <c r="H6">
        <v>90</v>
      </c>
      <c r="I6">
        <v>0.59</v>
      </c>
      <c r="J6">
        <f>D6+I6*$M$4</f>
        <v>178.98840000000001</v>
      </c>
      <c r="M6">
        <v>2.95</v>
      </c>
    </row>
    <row r="7" spans="1:13" x14ac:dyDescent="0.2">
      <c r="A7">
        <v>6</v>
      </c>
      <c r="B7">
        <f t="shared" si="0"/>
        <v>7</v>
      </c>
      <c r="C7" t="s">
        <v>5</v>
      </c>
      <c r="D7">
        <v>177.36</v>
      </c>
      <c r="E7">
        <v>2.75</v>
      </c>
      <c r="F7">
        <v>5</v>
      </c>
      <c r="G7">
        <f t="shared" si="1"/>
        <v>278</v>
      </c>
      <c r="H7">
        <v>90</v>
      </c>
      <c r="I7">
        <v>0.56000000000000005</v>
      </c>
      <c r="J7">
        <f>D7+I7*$M$4</f>
        <v>178.90560000000002</v>
      </c>
    </row>
    <row r="8" spans="1:13" x14ac:dyDescent="0.2">
      <c r="A8">
        <v>7</v>
      </c>
      <c r="B8">
        <f t="shared" si="0"/>
        <v>8</v>
      </c>
      <c r="C8" t="s">
        <v>5</v>
      </c>
      <c r="D8">
        <v>177.6</v>
      </c>
      <c r="E8">
        <v>2.71</v>
      </c>
      <c r="F8">
        <v>6</v>
      </c>
      <c r="G8">
        <f t="shared" si="1"/>
        <v>279</v>
      </c>
      <c r="H8">
        <v>84</v>
      </c>
      <c r="I8">
        <v>0.56999999999999995</v>
      </c>
      <c r="J8">
        <f>D8+I8*$M$4</f>
        <v>179.17319999999998</v>
      </c>
    </row>
    <row r="9" spans="1:13" x14ac:dyDescent="0.2">
      <c r="A9">
        <v>8</v>
      </c>
      <c r="B9">
        <f t="shared" si="0"/>
        <v>9</v>
      </c>
      <c r="C9" t="s">
        <v>6</v>
      </c>
      <c r="D9">
        <v>175.15</v>
      </c>
      <c r="E9">
        <v>2.96</v>
      </c>
      <c r="F9">
        <v>9</v>
      </c>
      <c r="G9">
        <f t="shared" si="1"/>
        <v>282</v>
      </c>
      <c r="H9">
        <v>92</v>
      </c>
      <c r="I9">
        <v>0.59</v>
      </c>
      <c r="J9">
        <f>D9+I9*$M$6</f>
        <v>176.8905</v>
      </c>
    </row>
    <row r="10" spans="1:13" x14ac:dyDescent="0.2">
      <c r="A10">
        <v>9</v>
      </c>
      <c r="B10">
        <f t="shared" si="0"/>
        <v>10</v>
      </c>
      <c r="C10" t="s">
        <v>5</v>
      </c>
      <c r="D10">
        <v>177.24</v>
      </c>
      <c r="E10">
        <v>2.46</v>
      </c>
      <c r="F10">
        <v>5</v>
      </c>
      <c r="G10">
        <f t="shared" si="1"/>
        <v>278</v>
      </c>
      <c r="H10">
        <v>84</v>
      </c>
      <c r="I10">
        <v>0.55000000000000004</v>
      </c>
      <c r="J10">
        <f>D10+I10*$M$4</f>
        <v>178.75800000000001</v>
      </c>
    </row>
    <row r="11" spans="1:13" x14ac:dyDescent="0.2">
      <c r="A11">
        <v>10</v>
      </c>
      <c r="B11">
        <f t="shared" si="0"/>
        <v>11</v>
      </c>
      <c r="C11" t="s">
        <v>5</v>
      </c>
      <c r="D11">
        <v>177.32</v>
      </c>
      <c r="E11">
        <v>2.64</v>
      </c>
      <c r="F11">
        <v>3</v>
      </c>
      <c r="G11">
        <f t="shared" si="1"/>
        <v>276</v>
      </c>
      <c r="H11">
        <v>89</v>
      </c>
      <c r="I11">
        <v>0.49</v>
      </c>
      <c r="J11">
        <f>D11+I11*$M$4</f>
        <v>178.67239999999998</v>
      </c>
    </row>
    <row r="12" spans="1:13" x14ac:dyDescent="0.2">
      <c r="A12">
        <v>11</v>
      </c>
      <c r="B12">
        <f t="shared" si="0"/>
        <v>12</v>
      </c>
      <c r="C12" t="s">
        <v>5</v>
      </c>
      <c r="D12">
        <v>177.29</v>
      </c>
      <c r="E12">
        <v>2.48</v>
      </c>
      <c r="F12">
        <v>-5</v>
      </c>
      <c r="G12">
        <f t="shared" si="1"/>
        <v>268</v>
      </c>
      <c r="H12">
        <v>94</v>
      </c>
      <c r="I12">
        <v>0.39</v>
      </c>
      <c r="J12">
        <f>D12+I12*$M$4</f>
        <v>178.3664</v>
      </c>
    </row>
    <row r="13" spans="1:13" x14ac:dyDescent="0.2">
      <c r="A13">
        <v>12</v>
      </c>
      <c r="B13">
        <f t="shared" si="0"/>
        <v>13</v>
      </c>
      <c r="C13" t="s">
        <v>5</v>
      </c>
      <c r="D13">
        <v>177.49</v>
      </c>
      <c r="E13">
        <v>2.42</v>
      </c>
      <c r="F13">
        <v>-6</v>
      </c>
      <c r="G13">
        <f t="shared" si="1"/>
        <v>267</v>
      </c>
      <c r="H13">
        <v>84</v>
      </c>
      <c r="I13">
        <v>0.35</v>
      </c>
      <c r="J13">
        <f>D13+I13*$M$4</f>
        <v>178.45600000000002</v>
      </c>
    </row>
    <row r="14" spans="1:13" x14ac:dyDescent="0.2">
      <c r="A14">
        <v>13</v>
      </c>
      <c r="B14">
        <f t="shared" si="0"/>
        <v>14</v>
      </c>
      <c r="C14" t="s">
        <v>6</v>
      </c>
      <c r="D14">
        <v>175.07</v>
      </c>
      <c r="E14">
        <v>2.38</v>
      </c>
      <c r="F14">
        <v>-2</v>
      </c>
      <c r="G14">
        <f t="shared" si="1"/>
        <v>271</v>
      </c>
      <c r="H14">
        <v>86</v>
      </c>
      <c r="I14">
        <v>0.37</v>
      </c>
      <c r="J14">
        <f>D14+I14*$M$6</f>
        <v>176.16149999999999</v>
      </c>
    </row>
    <row r="15" spans="1:13" x14ac:dyDescent="0.2">
      <c r="A15">
        <v>14</v>
      </c>
      <c r="B15">
        <f t="shared" si="0"/>
        <v>15</v>
      </c>
      <c r="C15" t="s">
        <v>5</v>
      </c>
      <c r="D15">
        <v>176.86</v>
      </c>
      <c r="E15">
        <v>0.78</v>
      </c>
      <c r="F15">
        <v>-8</v>
      </c>
      <c r="G15">
        <f t="shared" si="1"/>
        <v>265</v>
      </c>
      <c r="H15">
        <v>84</v>
      </c>
      <c r="I15">
        <v>0.12</v>
      </c>
      <c r="J15">
        <f>D15+I15*$M$4</f>
        <v>177.19120000000001</v>
      </c>
    </row>
    <row r="16" spans="1:13" x14ac:dyDescent="0.2">
      <c r="A16">
        <v>15</v>
      </c>
      <c r="B16">
        <f t="shared" si="0"/>
        <v>16</v>
      </c>
      <c r="C16" t="s">
        <v>5</v>
      </c>
      <c r="D16">
        <v>179.98</v>
      </c>
      <c r="E16">
        <v>0</v>
      </c>
      <c r="F16" t="s">
        <v>11</v>
      </c>
      <c r="G16" t="s">
        <v>11</v>
      </c>
      <c r="H16" t="s">
        <v>11</v>
      </c>
      <c r="I16">
        <v>0</v>
      </c>
      <c r="J16">
        <f>D16+I16*$M$4</f>
        <v>179.98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Streit, Julian</dc:creator>
  <cp:lastModifiedBy>Streit, Julian</cp:lastModifiedBy>
  <dcterms:created xsi:type="dcterms:W3CDTF">2025-11-21T14:47:22Z</dcterms:created>
  <dcterms:modified xsi:type="dcterms:W3CDTF">2025-11-21T15:46:55Z</dcterms:modified>
</cp:coreProperties>
</file>